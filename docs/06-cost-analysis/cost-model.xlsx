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  <sheet xmlns:r="http://schemas.openxmlformats.org/officeDocument/2006/relationships" name="Tier Summary" sheetId="2" state="visible" r:id="rId2"/>
    <sheet xmlns:r="http://schemas.openxmlformats.org/officeDocument/2006/relationships" name="ROI Analysis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14" customWidth="1" min="3" max="3"/>
    <col width="14" customWidth="1" min="4" max="4"/>
    <col width="14" customWidth="1" min="5" max="5"/>
    <col width="15" customWidth="1" min="6" max="6"/>
    <col width="42" customWidth="1" min="7" max="7"/>
    <col width="42" customWidth="1" min="8" max="8"/>
  </cols>
  <sheetData>
    <row r="1">
      <c r="A1" s="1" t="inlineStr">
        <is>
          <t>PaySecure Gateway — Multi-Region DR Cost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Service / Cost Category</t>
        </is>
      </c>
      <c r="B3" s="3" t="inlineStr">
        <is>
          <t>Current Annual Baseline (INR)</t>
        </is>
      </c>
      <c r="C3" s="3" t="inlineStr">
        <is>
          <t>Cold Standby</t>
        </is>
      </c>
      <c r="D3" s="3" t="inlineStr">
        <is>
          <t>Warm Standby</t>
        </is>
      </c>
      <c r="E3" s="3" t="inlineStr">
        <is>
          <t>Hot Standby</t>
        </is>
      </c>
      <c r="F3" s="3" t="inlineStr">
        <is>
          <t>Active-Active</t>
        </is>
      </c>
      <c r="G3" s="3" t="inlineStr">
        <is>
          <t>Notes</t>
        </is>
      </c>
      <c r="H3" s="3" t="inlineStr">
        <is>
          <t>Model Basis</t>
        </is>
      </c>
    </row>
    <row r="4">
      <c r="A4" s="2" t="inlineStr">
        <is>
          <t>EKS / Compute</t>
        </is>
      </c>
      <c r="B4" s="2" t="n">
        <v>22000000</v>
      </c>
      <c r="C4" s="2">
        <f>B4*1.075</f>
        <v/>
      </c>
      <c r="D4" s="2">
        <f>B4*1.4</f>
        <v/>
      </c>
      <c r="E4" s="2">
        <f>B4*1.7</f>
        <v/>
      </c>
      <c r="F4" s="2">
        <f>B4*2.0</f>
        <v/>
      </c>
      <c r="G4" s="2" t="inlineStr">
        <is>
          <t>Planning estimate; validate with AWS pricing before procurement.</t>
        </is>
      </c>
      <c r="H4" s="2" t="inlineStr">
        <is>
          <t>Baseline allocation × DR tier multiplier</t>
        </is>
      </c>
    </row>
    <row r="5">
      <c r="A5" s="2" t="inlineStr">
        <is>
          <t>Aurora PostgreSQL</t>
        </is>
      </c>
      <c r="B5" s="2" t="n">
        <v>11000000</v>
      </c>
      <c r="C5" s="2">
        <f>B5*1.075</f>
        <v/>
      </c>
      <c r="D5" s="2">
        <f>B5*1.4</f>
        <v/>
      </c>
      <c r="E5" s="2">
        <f>B5*1.7</f>
        <v/>
      </c>
      <c r="F5" s="2">
        <f>B5*2.0</f>
        <v/>
      </c>
      <c r="G5" s="2" t="inlineStr">
        <is>
          <t>Planning estimate; validate with AWS pricing before procurement.</t>
        </is>
      </c>
      <c r="H5" s="2" t="inlineStr">
        <is>
          <t>Baseline allocation × DR tier multiplier</t>
        </is>
      </c>
    </row>
    <row r="6">
      <c r="A6" s="2" t="inlineStr">
        <is>
          <t>DynamoDB</t>
        </is>
      </c>
      <c r="B6" s="2" t="n">
        <v>5000000</v>
      </c>
      <c r="C6" s="2">
        <f>B6*1.075</f>
        <v/>
      </c>
      <c r="D6" s="2">
        <f>B6*1.4</f>
        <v/>
      </c>
      <c r="E6" s="2">
        <f>B6*1.7</f>
        <v/>
      </c>
      <c r="F6" s="2">
        <f>B6*2.0</f>
        <v/>
      </c>
      <c r="G6" s="2" t="inlineStr">
        <is>
          <t>Planning estimate; validate with AWS pricing before procurement.</t>
        </is>
      </c>
      <c r="H6" s="2" t="inlineStr">
        <is>
          <t>Baseline allocation × DR tier multiplier</t>
        </is>
      </c>
    </row>
    <row r="7">
      <c r="A7" s="2" t="inlineStr">
        <is>
          <t>ElastiCache Redis</t>
        </is>
      </c>
      <c r="B7" s="2" t="n">
        <v>3500000</v>
      </c>
      <c r="C7" s="2">
        <f>B7*1.075</f>
        <v/>
      </c>
      <c r="D7" s="2">
        <f>B7*1.4</f>
        <v/>
      </c>
      <c r="E7" s="2">
        <f>B7*1.7</f>
        <v/>
      </c>
      <c r="F7" s="2">
        <f>B7*2.0</f>
        <v/>
      </c>
      <c r="G7" s="2" t="inlineStr">
        <is>
          <t>Planning estimate; validate with AWS pricing before procurement.</t>
        </is>
      </c>
      <c r="H7" s="2" t="inlineStr">
        <is>
          <t>Baseline allocation × DR tier multiplier</t>
        </is>
      </c>
    </row>
    <row r="8">
      <c r="A8" s="2" t="inlineStr">
        <is>
          <t>Amazon MSK / Kafka</t>
        </is>
      </c>
      <c r="B8" s="2" t="n">
        <v>5500000</v>
      </c>
      <c r="C8" s="2">
        <f>B8*1.075</f>
        <v/>
      </c>
      <c r="D8" s="2">
        <f>B8*1.4</f>
        <v/>
      </c>
      <c r="E8" s="2">
        <f>B8*1.7</f>
        <v/>
      </c>
      <c r="F8" s="2">
        <f>B8*2.0</f>
        <v/>
      </c>
      <c r="G8" s="2" t="inlineStr">
        <is>
          <t>Planning estimate; validate with AWS pricing before procurement.</t>
        </is>
      </c>
      <c r="H8" s="2" t="inlineStr">
        <is>
          <t>Baseline allocation × DR tier multiplier</t>
        </is>
      </c>
    </row>
    <row r="9">
      <c r="A9" s="2" t="inlineStr">
        <is>
          <t>NAT Gateway</t>
        </is>
      </c>
      <c r="B9" s="2" t="n">
        <v>2500000</v>
      </c>
      <c r="C9" s="2">
        <f>B9*1.075</f>
        <v/>
      </c>
      <c r="D9" s="2">
        <f>B9*1.4</f>
        <v/>
      </c>
      <c r="E9" s="2">
        <f>B9*1.7</f>
        <v/>
      </c>
      <c r="F9" s="2">
        <f>B9*2.0</f>
        <v/>
      </c>
      <c r="G9" s="2" t="inlineStr">
        <is>
          <t>Planning estimate; validate with AWS pricing before procurement.</t>
        </is>
      </c>
      <c r="H9" s="2" t="inlineStr">
        <is>
          <t>Baseline allocation × DR tier multiplier</t>
        </is>
      </c>
    </row>
    <row r="10">
      <c r="A10" s="2" t="inlineStr">
        <is>
          <t>Inter-Region Data Transfer</t>
        </is>
      </c>
      <c r="B10" s="2" t="n">
        <v>3000000</v>
      </c>
      <c r="C10" s="2">
        <f>B10*1.075</f>
        <v/>
      </c>
      <c r="D10" s="2">
        <f>B10*1.4</f>
        <v/>
      </c>
      <c r="E10" s="2">
        <f>B10*1.7</f>
        <v/>
      </c>
      <c r="F10" s="2">
        <f>B10*2.0</f>
        <v/>
      </c>
      <c r="G10" s="2" t="inlineStr">
        <is>
          <t>Planning estimate; validate with AWS pricing before procurement.</t>
        </is>
      </c>
      <c r="H10" s="2" t="inlineStr">
        <is>
          <t>Baseline allocation × DR tier multiplier</t>
        </is>
      </c>
    </row>
    <row r="11">
      <c r="A11" s="2" t="inlineStr">
        <is>
          <t>Route 53</t>
        </is>
      </c>
      <c r="B11" s="2" t="n">
        <v>500000</v>
      </c>
      <c r="C11" s="2">
        <f>B11*1.075</f>
        <v/>
      </c>
      <c r="D11" s="2">
        <f>B11*1.4</f>
        <v/>
      </c>
      <c r="E11" s="2">
        <f>B11*1.7</f>
        <v/>
      </c>
      <c r="F11" s="2">
        <f>B11*2.0</f>
        <v/>
      </c>
      <c r="G11" s="2" t="inlineStr">
        <is>
          <t>Planning estimate; validate with AWS pricing before procurement.</t>
        </is>
      </c>
      <c r="H11" s="2" t="inlineStr">
        <is>
          <t>Baseline allocation × DR tier multiplier</t>
        </is>
      </c>
    </row>
    <row r="12">
      <c r="A12" s="2" t="inlineStr">
        <is>
          <t>S3 Storage</t>
        </is>
      </c>
      <c r="B12" s="2" t="n">
        <v>1200000</v>
      </c>
      <c r="C12" s="2">
        <f>B12*1.075</f>
        <v/>
      </c>
      <c r="D12" s="2">
        <f>B12*1.4</f>
        <v/>
      </c>
      <c r="E12" s="2">
        <f>B12*1.7</f>
        <v/>
      </c>
      <c r="F12" s="2">
        <f>B12*2.0</f>
        <v/>
      </c>
      <c r="G12" s="2" t="inlineStr">
        <is>
          <t>Planning estimate; validate with AWS pricing before procurement.</t>
        </is>
      </c>
      <c r="H12" s="2" t="inlineStr">
        <is>
          <t>Baseline allocation × DR tier multiplier</t>
        </is>
      </c>
    </row>
    <row r="13">
      <c r="A13" s="2" t="inlineStr">
        <is>
          <t>KMS</t>
        </is>
      </c>
      <c r="B13" s="2" t="n">
        <v>500000</v>
      </c>
      <c r="C13" s="2">
        <f>B13*1.075</f>
        <v/>
      </c>
      <c r="D13" s="2">
        <f>B13*1.4</f>
        <v/>
      </c>
      <c r="E13" s="2">
        <f>B13*1.7</f>
        <v/>
      </c>
      <c r="F13" s="2">
        <f>B13*2.0</f>
        <v/>
      </c>
      <c r="G13" s="2" t="inlineStr">
        <is>
          <t>Planning estimate; validate with AWS pricing before procurement.</t>
        </is>
      </c>
      <c r="H13" s="2" t="inlineStr">
        <is>
          <t>Baseline allocation × DR tier multiplier</t>
        </is>
      </c>
    </row>
    <row r="14">
      <c r="A14" s="2" t="inlineStr">
        <is>
          <t>WAF</t>
        </is>
      </c>
      <c r="B14" s="2" t="n">
        <v>800000</v>
      </c>
      <c r="C14" s="2">
        <f>B14*1.075</f>
        <v/>
      </c>
      <c r="D14" s="2">
        <f>B14*1.4</f>
        <v/>
      </c>
      <c r="E14" s="2">
        <f>B14*1.7</f>
        <v/>
      </c>
      <c r="F14" s="2">
        <f>B14*2.0</f>
        <v/>
      </c>
      <c r="G14" s="2" t="inlineStr">
        <is>
          <t>Planning estimate; validate with AWS pricing before procurement.</t>
        </is>
      </c>
      <c r="H14" s="2" t="inlineStr">
        <is>
          <t>Baseline allocation × DR tier multiplier</t>
        </is>
      </c>
    </row>
    <row r="15">
      <c r="A15" s="2" t="inlineStr">
        <is>
          <t>AWS Shield</t>
        </is>
      </c>
      <c r="B15" s="2" t="n">
        <v>1200000</v>
      </c>
      <c r="C15" s="2">
        <f>B15*1.075</f>
        <v/>
      </c>
      <c r="D15" s="2">
        <f>B15*1.4</f>
        <v/>
      </c>
      <c r="E15" s="2">
        <f>B15*1.7</f>
        <v/>
      </c>
      <c r="F15" s="2">
        <f>B15*2.0</f>
        <v/>
      </c>
      <c r="G15" s="2" t="inlineStr">
        <is>
          <t>Planning estimate; validate with AWS pricing before procurement.</t>
        </is>
      </c>
      <c r="H15" s="2" t="inlineStr">
        <is>
          <t>Baseline allocation × DR tier multiplier</t>
        </is>
      </c>
    </row>
    <row r="16">
      <c r="A16" s="2" t="inlineStr">
        <is>
          <t>CloudWatch</t>
        </is>
      </c>
      <c r="B16" s="2" t="n">
        <v>1500000</v>
      </c>
      <c r="C16" s="2">
        <f>B16*1.075</f>
        <v/>
      </c>
      <c r="D16" s="2">
        <f>B16*1.4</f>
        <v/>
      </c>
      <c r="E16" s="2">
        <f>B16*1.7</f>
        <v/>
      </c>
      <c r="F16" s="2">
        <f>B16*2.0</f>
        <v/>
      </c>
      <c r="G16" s="2" t="inlineStr">
        <is>
          <t>Planning estimate; validate with AWS pricing before procurement.</t>
        </is>
      </c>
      <c r="H16" s="2" t="inlineStr">
        <is>
          <t>Baseline allocation × DR tier multiplier</t>
        </is>
      </c>
    </row>
    <row r="17">
      <c r="A17" s="2" t="inlineStr">
        <is>
          <t>Prometheus / Grafana</t>
        </is>
      </c>
      <c r="B17" s="2" t="n">
        <v>800000</v>
      </c>
      <c r="C17" s="2">
        <f>B17*1.075</f>
        <v/>
      </c>
      <c r="D17" s="2">
        <f>B17*1.4</f>
        <v/>
      </c>
      <c r="E17" s="2">
        <f>B17*1.7</f>
        <v/>
      </c>
      <c r="F17" s="2">
        <f>B17*2.0</f>
        <v/>
      </c>
      <c r="G17" s="2" t="inlineStr">
        <is>
          <t>Planning estimate; validate with AWS pricing before procurement.</t>
        </is>
      </c>
      <c r="H17" s="2" t="inlineStr">
        <is>
          <t>Baseline allocation × DR tier multiplier</t>
        </is>
      </c>
    </row>
    <row r="18">
      <c r="A18" s="2" t="inlineStr">
        <is>
          <t>PagerDuty / On-call</t>
        </is>
      </c>
      <c r="B18" s="2" t="n">
        <v>700000</v>
      </c>
      <c r="C18" s="2">
        <f>B18*1.075</f>
        <v/>
      </c>
      <c r="D18" s="2">
        <f>B18*1.4</f>
        <v/>
      </c>
      <c r="E18" s="2">
        <f>B18*1.7</f>
        <v/>
      </c>
      <c r="F18" s="2">
        <f>B18*2.0</f>
        <v/>
      </c>
      <c r="G18" s="2" t="inlineStr">
        <is>
          <t>Planning estimate; validate with AWS pricing before procurement.</t>
        </is>
      </c>
      <c r="H18" s="2" t="inlineStr">
        <is>
          <t>Baseline allocation × DR tier multiplier</t>
        </is>
      </c>
    </row>
    <row r="19">
      <c r="A19" s="2" t="inlineStr">
        <is>
          <t>DR Drills / Training / Ops</t>
        </is>
      </c>
      <c r="B19" s="2" t="n">
        <v>1500000</v>
      </c>
      <c r="C19" s="2">
        <f>B19*1.075</f>
        <v/>
      </c>
      <c r="D19" s="2">
        <f>B19*1.4</f>
        <v/>
      </c>
      <c r="E19" s="2">
        <f>B19*1.7</f>
        <v/>
      </c>
      <c r="F19" s="2">
        <f>B19*2.0</f>
        <v/>
      </c>
      <c r="G19" s="2" t="inlineStr">
        <is>
          <t>Planning estimate; validate with AWS pricing before procurement.</t>
        </is>
      </c>
      <c r="H19" s="2" t="inlineStr">
        <is>
          <t>Baseline allocation × DR tier multiplier</t>
        </is>
      </c>
    </row>
    <row r="20">
      <c r="A20" s="3" t="inlineStr">
        <is>
          <t>TOTAL ANNUAL COST</t>
        </is>
      </c>
      <c r="B20" s="3">
        <f>SUM(B4:B19)</f>
        <v/>
      </c>
      <c r="C20" s="3">
        <f>SUM(C4:C19)</f>
        <v/>
      </c>
      <c r="D20" s="3">
        <f>SUM(D4:D19)</f>
        <v/>
      </c>
      <c r="E20" s="3">
        <f>SUM(E4:E19)</f>
        <v/>
      </c>
      <c r="F20" s="3">
        <f>SUM(F4:F19)</f>
        <v/>
      </c>
      <c r="G20" s="2" t="n"/>
      <c r="H20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2" customWidth="1" min="3" max="3"/>
    <col width="28" customWidth="1" min="4" max="4"/>
    <col width="15" customWidth="1" min="5" max="5"/>
    <col width="22" customWidth="1" min="6" max="6"/>
  </cols>
  <sheetData>
    <row r="1">
      <c r="A1" s="3" t="inlineStr">
        <is>
          <t>DR Tier</t>
        </is>
      </c>
      <c r="B1" s="3" t="inlineStr">
        <is>
          <t>Planning Multiplier</t>
        </is>
      </c>
      <c r="C1" s="3" t="inlineStr">
        <is>
          <t>Annual Cost (INR)</t>
        </is>
      </c>
      <c r="D1" s="3" t="inlineStr">
        <is>
          <t>Increment vs Current (INR)</t>
        </is>
      </c>
      <c r="E1" s="3" t="inlineStr">
        <is>
          <t>Typical RTO</t>
        </is>
      </c>
      <c r="F1" s="3" t="inlineStr">
        <is>
          <t>Typical RPO</t>
        </is>
      </c>
    </row>
    <row r="2">
      <c r="A2" s="2" t="inlineStr">
        <is>
          <t>Cold Standby</t>
        </is>
      </c>
      <c r="B2" s="2" t="n">
        <v>1.075</v>
      </c>
      <c r="C2" s="2">
        <f>'Cost Model'!B20*B2</f>
        <v/>
      </c>
      <c r="D2" s="2">
        <f>C2-'Cost Model'!B20</f>
        <v/>
      </c>
      <c r="E2" s="2" t="inlineStr">
        <is>
          <t>4–24 hours</t>
        </is>
      </c>
      <c r="F2" s="2" t="inlineStr">
        <is>
          <t>Hours to days</t>
        </is>
      </c>
    </row>
    <row r="3">
      <c r="A3" s="2" t="inlineStr">
        <is>
          <t>Warm Standby</t>
        </is>
      </c>
      <c r="B3" s="2" t="n">
        <v>1.4</v>
      </c>
      <c r="C3" s="2">
        <f>'Cost Model'!B20*B3</f>
        <v/>
      </c>
      <c r="D3" s="2">
        <f>C3-'Cost Model'!B20</f>
        <v/>
      </c>
      <c r="E3" s="2" t="inlineStr">
        <is>
          <t>15–60 minutes</t>
        </is>
      </c>
      <c r="F3" s="2" t="inlineStr">
        <is>
          <t>Minutes</t>
        </is>
      </c>
    </row>
    <row r="4">
      <c r="A4" s="2" t="inlineStr">
        <is>
          <t>Hot Standby</t>
        </is>
      </c>
      <c r="B4" s="2" t="n">
        <v>1.7</v>
      </c>
      <c r="C4" s="2">
        <f>'Cost Model'!B20*B4</f>
        <v/>
      </c>
      <c r="D4" s="2">
        <f>C4-'Cost Model'!B20</f>
        <v/>
      </c>
      <c r="E4" s="2" t="inlineStr">
        <is>
          <t>1–5 minutes</t>
        </is>
      </c>
      <c r="F4" s="2" t="inlineStr">
        <is>
          <t>Seconds to ~1 minute</t>
        </is>
      </c>
    </row>
    <row r="5">
      <c r="A5" s="2" t="inlineStr">
        <is>
          <t>Active-Active</t>
        </is>
      </c>
      <c r="B5" s="2" t="n">
        <v>2</v>
      </c>
      <c r="C5" s="2">
        <f>'Cost Model'!B20*B5</f>
        <v/>
      </c>
      <c r="D5" s="2">
        <f>C5-'Cost Model'!B20</f>
        <v/>
      </c>
      <c r="E5" s="2" t="inlineStr">
        <is>
          <t>Near-zero</t>
        </is>
      </c>
      <c r="F5" s="2" t="inlineStr">
        <is>
          <t>Near-zero to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</cols>
  <sheetData>
    <row r="1">
      <c r="A1" s="3" t="inlineStr">
        <is>
          <t>ROI Input</t>
        </is>
      </c>
      <c r="B1" s="3" t="inlineStr">
        <is>
          <t>Value</t>
        </is>
      </c>
      <c r="C1" s="3" t="inlineStr">
        <is>
          <t>Basis / Note</t>
        </is>
      </c>
    </row>
    <row r="2">
      <c r="A2" s="2" t="inlineStr">
        <is>
          <t>Current annual infrastructure spend</t>
        </is>
      </c>
      <c r="B2" s="2" t="n">
        <v>80000000</v>
      </c>
      <c r="C2" s="2" t="inlineStr">
        <is>
          <t>Project brief</t>
        </is>
      </c>
    </row>
    <row r="3">
      <c r="A3" s="2" t="inlineStr">
        <is>
          <t>Direct revenue loss per hour of downtime</t>
        </is>
      </c>
      <c r="B3" s="2" t="n">
        <v>3750000</v>
      </c>
      <c r="C3" s="2" t="inlineStr">
        <is>
          <t>Project brief</t>
        </is>
      </c>
    </row>
    <row r="4">
      <c r="A4" s="2" t="inlineStr">
        <is>
          <t>Engineer-hours for major recovery</t>
        </is>
      </c>
      <c r="B4" s="2" t="n">
        <v>500</v>
      </c>
      <c r="C4" s="2" t="inlineStr">
        <is>
          <t>Project brief</t>
        </is>
      </c>
    </row>
    <row r="5">
      <c r="A5" s="2" t="inlineStr">
        <is>
          <t>Engineer cost per hour</t>
        </is>
      </c>
      <c r="B5" s="2" t="n">
        <v>3000</v>
      </c>
      <c r="C5" s="2" t="inlineStr">
        <is>
          <t>Project brief</t>
        </is>
      </c>
    </row>
    <row r="6">
      <c r="A6" s="2" t="inlineStr">
        <is>
          <t>Illustrative regulatory fine - low</t>
        </is>
      </c>
      <c r="B6" s="2" t="n">
        <v>5000000</v>
      </c>
      <c r="C6" s="2" t="inlineStr">
        <is>
          <t>Project brief</t>
        </is>
      </c>
    </row>
    <row r="7">
      <c r="A7" s="2" t="inlineStr">
        <is>
          <t>Illustrative regulatory fine - high</t>
        </is>
      </c>
      <c r="B7" s="2" t="n">
        <v>20000000</v>
      </c>
      <c r="C7" s="2" t="inlineStr">
        <is>
          <t>Project brief</t>
        </is>
      </c>
    </row>
    <row r="8">
      <c r="A8" s="2" t="inlineStr">
        <is>
          <t>Target uptime</t>
        </is>
      </c>
      <c r="B8" s="2" t="n">
        <v>0.9999</v>
      </c>
      <c r="C8" s="2" t="inlineStr">
        <is>
          <t>Project brief</t>
        </is>
      </c>
    </row>
    <row r="9">
      <c r="A9" s="2" t="inlineStr">
        <is>
          <t>Illustrative recovery labor cost</t>
        </is>
      </c>
      <c r="B9" s="2">
        <f>B4*B5</f>
        <v/>
      </c>
      <c r="C9" s="2" t="inlineStr">
        <is>
          <t>500 engineer-hours × ₹3,000/hour</t>
        </is>
      </c>
    </row>
    <row r="10">
      <c r="A10" s="2" t="inlineStr">
        <is>
          <t>Illustrative 1-hour downtime exposure + recovery labor</t>
        </is>
      </c>
      <c r="B10" s="2">
        <f>B3+B10</f>
        <v/>
      </c>
      <c r="C10" s="2" t="inlineStr">
        <is>
          <t>Planning illustration; excludes other impacts</t>
        </is>
      </c>
    </row>
    <row r="11">
      <c r="A11" s="2" t="inlineStr">
        <is>
          <t>Warm Standby annual increment vs current</t>
        </is>
      </c>
      <c r="B11" s="2">
        <f>'Tier Summary'!D3</f>
        <v/>
      </c>
      <c r="C11" s="2" t="inlineStr">
        <is>
          <t>Planning model</t>
        </is>
      </c>
    </row>
    <row r="12">
      <c r="A12" s="2" t="inlineStr">
        <is>
          <t>Hot Standby annual increment vs current</t>
        </is>
      </c>
      <c r="B12" s="2">
        <f>'Tier Summary'!D4</f>
        <v/>
      </c>
      <c r="C12" s="2" t="inlineStr">
        <is>
          <t>Planning model</t>
        </is>
      </c>
    </row>
    <row r="13">
      <c r="A13" s="2" t="inlineStr">
        <is>
          <t>Active-Active annual increment vs current</t>
        </is>
      </c>
      <c r="B13" s="2">
        <f>'Tier Summary'!D5</f>
        <v/>
      </c>
      <c r="C13" s="2" t="inlineStr">
        <is>
          <t>Planning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9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Source / Status</t>
        </is>
      </c>
    </row>
    <row r="2">
      <c r="A2" s="2" t="inlineStr">
        <is>
          <t>Current region</t>
        </is>
      </c>
      <c r="B2" s="2" t="inlineStr">
        <is>
          <t>ap-south-1 (Mumbai)</t>
        </is>
      </c>
      <c r="C2" s="2" t="inlineStr">
        <is>
          <t>Project brief</t>
        </is>
      </c>
    </row>
    <row r="3">
      <c r="A3" s="2" t="inlineStr">
        <is>
          <t>DR region</t>
        </is>
      </c>
      <c r="B3" s="2" t="inlineStr">
        <is>
          <t>ap-south-2 (Hyderabad)</t>
        </is>
      </c>
      <c r="C3" s="2" t="inlineStr">
        <is>
          <t>Project brief/design basis</t>
        </is>
      </c>
    </row>
    <row r="4">
      <c r="A4" s="2" t="inlineStr">
        <is>
          <t>Current uptime</t>
        </is>
      </c>
      <c r="B4" s="2" t="inlineStr">
        <is>
          <t>99.92%</t>
        </is>
      </c>
      <c r="C4" s="2" t="inlineStr">
        <is>
          <t>Project brief</t>
        </is>
      </c>
    </row>
    <row r="5">
      <c r="A5" s="2" t="inlineStr">
        <is>
          <t>Target uptime</t>
        </is>
      </c>
      <c r="B5" s="2" t="inlineStr">
        <is>
          <t>99.99%</t>
        </is>
      </c>
      <c r="C5" s="2" t="inlineStr">
        <is>
          <t>Project brief</t>
        </is>
      </c>
    </row>
    <row r="6">
      <c r="A6" s="2" t="inlineStr">
        <is>
          <t>Target RPO</t>
        </is>
      </c>
      <c r="B6" s="2" t="inlineStr">
        <is>
          <t>&lt; 1 minute</t>
        </is>
      </c>
      <c r="C6" s="2" t="inlineStr">
        <is>
          <t>Project brief</t>
        </is>
      </c>
    </row>
    <row r="7">
      <c r="A7" s="2" t="inlineStr">
        <is>
          <t>Target RTO</t>
        </is>
      </c>
      <c r="B7" s="2" t="inlineStr">
        <is>
          <t>&lt; 5 minutes</t>
        </is>
      </c>
      <c r="C7" s="2" t="inlineStr">
        <is>
          <t>Project brief</t>
        </is>
      </c>
    </row>
    <row r="8">
      <c r="A8" s="2" t="inlineStr">
        <is>
          <t>Daily transactions</t>
        </is>
      </c>
      <c r="B8" s="2" t="inlineStr">
        <is>
          <t>3.2 million</t>
        </is>
      </c>
      <c r="C8" s="2" t="inlineStr">
        <is>
          <t>Project brief</t>
        </is>
      </c>
    </row>
    <row r="9">
      <c r="A9" s="2" t="inlineStr">
        <is>
          <t>Daily transaction value</t>
        </is>
      </c>
      <c r="B9" s="2" t="inlineStr">
        <is>
          <t>₹500 crore</t>
        </is>
      </c>
      <c r="C9" s="2" t="inlineStr">
        <is>
          <t>Project brief</t>
        </is>
      </c>
    </row>
    <row r="10">
      <c r="A10" s="2" t="inlineStr">
        <is>
          <t>Peak TPS</t>
        </is>
      </c>
      <c r="B10" s="2" t="inlineStr">
        <is>
          <t>1,200</t>
        </is>
      </c>
      <c r="C10" s="2" t="inlineStr">
        <is>
          <t>Project brief</t>
        </is>
      </c>
    </row>
    <row r="11">
      <c r="A11" s="2" t="inlineStr">
        <is>
          <t>Merchants</t>
        </is>
      </c>
      <c r="B11" s="2" t="inlineStr">
        <is>
          <t>45,000</t>
        </is>
      </c>
      <c r="C11" s="2" t="inlineStr">
        <is>
          <t>Project brief</t>
        </is>
      </c>
    </row>
    <row r="12">
      <c r="A12" s="2" t="inlineStr">
        <is>
          <t>Current annual infrastructure spend</t>
        </is>
      </c>
      <c r="B12" s="2" t="inlineStr">
        <is>
          <t>₹8 crore</t>
        </is>
      </c>
      <c r="C12" s="2" t="inlineStr">
        <is>
          <t>Project brief</t>
        </is>
      </c>
    </row>
    <row r="13">
      <c r="A13" s="2" t="inlineStr">
        <is>
          <t>DR tier multipliers</t>
        </is>
      </c>
      <c r="B13" s="2" t="inlineStr">
        <is>
          <t>1.075 / 1.40 / 1.70 / 2.00</t>
        </is>
      </c>
      <c r="C13" s="2" t="inlineStr">
        <is>
          <t>Planning assumptions — not AWS quotes</t>
        </is>
      </c>
    </row>
    <row r="14">
      <c r="A14" s="2" t="inlineStr">
        <is>
          <t>Pricing validity</t>
        </is>
      </c>
      <c r="B14" s="2" t="inlineStr">
        <is>
          <t>Validate before procurement</t>
        </is>
      </c>
      <c r="C14" s="2" t="inlineStr">
        <is>
          <t>Planning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2026-09-20T13:13:08Z</dcterms:created>
  <dcterms:modified xmlns:dcterms="http://purl.org/dc/terms/" xmlns:xsi="http://www.w3.org/2001/XMLSchema-instance" xsi:type="dcterms:W3CDTF">2026-09-20T13:13:08Z</dcterms:modified>
</cp:coreProperties>
</file>